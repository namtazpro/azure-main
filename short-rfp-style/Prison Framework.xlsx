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r-my.sharepoint.com/personal/colin_bell_kier_co_uk/Documents/Documents/"/>
    </mc:Choice>
  </mc:AlternateContent>
  <xr:revisionPtr revIDLastSave="778" documentId="8_{A3C85D87-0AD0-4509-8490-F027C78B4198}" xr6:coauthVersionLast="47" xr6:coauthVersionMax="47" xr10:uidLastSave="{EF8982B0-51B2-48D3-AF88-10B6044A0CDB}"/>
  <bookViews>
    <workbookView xWindow="-108" yWindow="-108" windowWidth="23256" windowHeight="12456" activeTab="1" xr2:uid="{5426DF25-1E34-4F12-907D-2A08763D9156}"/>
  </bookViews>
  <sheets>
    <sheet name="Outputs" sheetId="3" r:id="rId1"/>
    <sheet name="Calcul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3" i="1" l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51" i="1"/>
  <c r="D52" i="1"/>
  <c r="C46" i="1"/>
  <c r="C48" i="1" s="1"/>
  <c r="C44" i="1"/>
  <c r="C47" i="1"/>
  <c r="B24" i="3"/>
  <c r="B18" i="3"/>
  <c r="B14" i="3"/>
  <c r="B15" i="3"/>
  <c r="B11" i="3"/>
  <c r="E14" i="1"/>
  <c r="C14" i="1" s="1"/>
  <c r="E13" i="1"/>
  <c r="B12" i="3" s="1"/>
  <c r="E18" i="1"/>
  <c r="C18" i="1" s="1"/>
  <c r="E17" i="1"/>
  <c r="B16" i="3" s="1"/>
  <c r="B7" i="3"/>
  <c r="B21" i="3" s="1"/>
  <c r="B22" i="3" l="1"/>
  <c r="B20" i="3"/>
  <c r="B19" i="3"/>
  <c r="C13" i="1"/>
  <c r="C17" i="1"/>
  <c r="B13" i="3"/>
  <c r="B17" i="3"/>
  <c r="B29" i="3"/>
  <c r="C4" i="1" l="1"/>
  <c r="D44" i="1" s="1"/>
  <c r="B4" i="3"/>
  <c r="B35" i="3" l="1" a="1"/>
  <c r="B35" i="3" s="1"/>
  <c r="B37" i="3" a="1"/>
  <c r="B37" i="3" s="1"/>
  <c r="B38" i="3" a="1"/>
  <c r="B38" i="3" s="1"/>
  <c r="B36" i="3" a="1"/>
  <c r="B36" i="3" s="1"/>
  <c r="B39" i="3" a="1"/>
  <c r="B39" i="3" s="1"/>
  <c r="B40" i="3" a="1"/>
  <c r="B40" i="3" s="1"/>
  <c r="B34" i="3" a="1"/>
  <c r="B34" i="3" s="1"/>
  <c r="C6" i="1"/>
  <c r="B33" i="3"/>
  <c r="B4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<sst xmlns="http://schemas.openxmlformats.org/spreadsheetml/2006/main" count="141" uniqueCount="107">
  <si>
    <t>Kitchen</t>
  </si>
  <si>
    <t>CASU</t>
  </si>
  <si>
    <t>No. of prisoners</t>
  </si>
  <si>
    <t>Required Acres</t>
  </si>
  <si>
    <t>Calculated Total GIFA ÷ Millsike Density</t>
  </si>
  <si>
    <t>Houseblock Duration + ((Number of Blocks - 1) × 4 Weeks)
+ Commissioning</t>
  </si>
  <si>
    <t>Profit</t>
  </si>
  <si>
    <t>Central OH</t>
  </si>
  <si>
    <t>Site OH A</t>
  </si>
  <si>
    <t>Site OH B</t>
  </si>
  <si>
    <t>Risk</t>
  </si>
  <si>
    <t>Specialist fees</t>
  </si>
  <si>
    <t>Precon fees</t>
  </si>
  <si>
    <t>Regulatory fees</t>
  </si>
  <si>
    <t>Demo</t>
  </si>
  <si>
    <t>Substructure</t>
  </si>
  <si>
    <t>Superstructure Env</t>
  </si>
  <si>
    <t>Superstructure Sub</t>
  </si>
  <si>
    <t>Finishes</t>
  </si>
  <si>
    <t>Fittings</t>
  </si>
  <si>
    <t>M&amp;E</t>
  </si>
  <si>
    <t>External works</t>
  </si>
  <si>
    <t>Minor works</t>
  </si>
  <si>
    <t>Required GIFA</t>
  </si>
  <si>
    <t>Cost / m2</t>
  </si>
  <si>
    <t>Description</t>
  </si>
  <si>
    <t>Building</t>
  </si>
  <si>
    <t>GIFA</t>
  </si>
  <si>
    <t>Support</t>
  </si>
  <si>
    <t>Workshop</t>
  </si>
  <si>
    <t>Houseblock</t>
  </si>
  <si>
    <t>OPU</t>
  </si>
  <si>
    <t>Area / prisoner</t>
  </si>
  <si>
    <t>Buildings</t>
  </si>
  <si>
    <t>Prisoners (Total)</t>
  </si>
  <si>
    <t>Prisoners (per HB)</t>
  </si>
  <si>
    <t>No. of Houseblocks req'd</t>
  </si>
  <si>
    <t>Programme (HBs)</t>
  </si>
  <si>
    <t>Programme (Stagger)</t>
  </si>
  <si>
    <t>Programme (Commissioning)</t>
  </si>
  <si>
    <t>Input figure here</t>
  </si>
  <si>
    <t>Programme (wks)</t>
  </si>
  <si>
    <t>ERH (offices)</t>
  </si>
  <si>
    <t>ERH (visits hall)</t>
  </si>
  <si>
    <t>ERH (core)</t>
  </si>
  <si>
    <t>Fixed</t>
  </si>
  <si>
    <t>Central services (core)</t>
  </si>
  <si>
    <t>Central services (education)</t>
  </si>
  <si>
    <t>Central services (gym)</t>
  </si>
  <si>
    <t>Status</t>
  </si>
  <si>
    <t>per additional HB</t>
  </si>
  <si>
    <t>Notes</t>
  </si>
  <si>
    <t>m2 / person</t>
  </si>
  <si>
    <t>1 additional OPU per 6 HBs</t>
  </si>
  <si>
    <t>1 additional CASU per 6 HBs</t>
  </si>
  <si>
    <t>Site area</t>
  </si>
  <si>
    <t>TOTAL</t>
  </si>
  <si>
    <t>Mark to transition costs to  rows 34 to 42</t>
  </si>
  <si>
    <t>Mark to transition costs to  rows 34 to 43</t>
  </si>
  <si>
    <t>Mark to transition costs to  rows 34 to 44</t>
  </si>
  <si>
    <t>Mark to transition costs to  rows 34 to 45</t>
  </si>
  <si>
    <t>Mark to transition costs to  rows 34 to 46</t>
  </si>
  <si>
    <t>Mark to transition costs to  rows 34 to 47</t>
  </si>
  <si>
    <t>Mark to transition costs to  rows 34 to 48</t>
  </si>
  <si>
    <t>Mark to transition costs to  rows 34 to 49</t>
  </si>
  <si>
    <t>On cost factor</t>
  </si>
  <si>
    <t>Date</t>
  </si>
  <si>
    <t>Quarterly indices adjustment</t>
  </si>
  <si>
    <t>Q1 (2025)</t>
  </si>
  <si>
    <t>Q2 (2025)</t>
  </si>
  <si>
    <t>Q3 (2025)</t>
  </si>
  <si>
    <t>Q4 (2025)</t>
  </si>
  <si>
    <t>Q1 (2026)</t>
  </si>
  <si>
    <t>Q2 (2026)</t>
  </si>
  <si>
    <t>Q3 (2026)</t>
  </si>
  <si>
    <t>Q4 (2026)</t>
  </si>
  <si>
    <t>Adjustment factor</t>
  </si>
  <si>
    <t>Start on site</t>
  </si>
  <si>
    <t>Q1 (2027)</t>
  </si>
  <si>
    <t>Q2 (2027)</t>
  </si>
  <si>
    <t>Q3 (2027)</t>
  </si>
  <si>
    <t>Q4 (2027)</t>
  </si>
  <si>
    <t>Q1 (2028)</t>
  </si>
  <si>
    <t>Q2 (2028)</t>
  </si>
  <si>
    <t>Q3 (2028)</t>
  </si>
  <si>
    <t>Q4 (2028)</t>
  </si>
  <si>
    <t>Q1 (2029)</t>
  </si>
  <si>
    <t>Q2 (2029)</t>
  </si>
  <si>
    <t>Q3 (2029)</t>
  </si>
  <si>
    <t>Q4 (2029)</t>
  </si>
  <si>
    <t>Q1 (2030)</t>
  </si>
  <si>
    <t>Q2 (2030)</t>
  </si>
  <si>
    <t>Q3 (2030)</t>
  </si>
  <si>
    <t>Q4 (2030)</t>
  </si>
  <si>
    <t>Q1 (2031)</t>
  </si>
  <si>
    <t>Q2 (2031)</t>
  </si>
  <si>
    <t>Choose start on site period</t>
  </si>
  <si>
    <t>Abnormal, Site Influences &amp; Specific Requirements</t>
  </si>
  <si>
    <t>Q2 (2023)</t>
  </si>
  <si>
    <t>Q3 (2023)</t>
  </si>
  <si>
    <t>Q4 (2023)</t>
  </si>
  <si>
    <t>Q1 (2024)</t>
  </si>
  <si>
    <t>Q2 (2024)</t>
  </si>
  <si>
    <t>Q3 (2024)</t>
  </si>
  <si>
    <t>Q4 (2024)</t>
  </si>
  <si>
    <t>Q1 (2023)</t>
  </si>
  <si>
    <t>Benchmark data point (midway through HMP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</si>
</sst>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13" x14ac:knownFonts="1">
    <font>
      <sz val="12"/>
      <color theme="1"/>
      <name val="Arial"/>
      <family val="2"/>
    </font>
    <font>
      <sz val="11"/>
      <color rgb="FFFFFFFF"/>
      <name val="Aptos"/>
      <family val="2"/>
    </font>
    <font>
      <sz val="11"/>
      <color theme="1"/>
      <name val="Aptos"/>
      <family val="2"/>
    </font>
    <font>
      <i/>
      <sz val="8"/>
      <color theme="1"/>
      <name val="Aptos"/>
      <family val="2"/>
    </font>
    <font>
      <sz val="11"/>
      <color theme="0"/>
      <name val="Aptos"/>
      <family val="2"/>
    </font>
    <font>
      <i/>
      <sz val="11"/>
      <color theme="1"/>
      <name val="Aptos"/>
      <family val="2"/>
    </font>
    <font>
      <i/>
      <sz val="9"/>
      <color theme="1"/>
      <name val="Aptos"/>
      <family val="2"/>
    </font>
    <font>
      <b/>
      <sz val="11"/>
      <color theme="0"/>
      <name val="Aptos"/>
      <family val="2"/>
    </font>
    <font>
      <b/>
      <i/>
      <sz val="11"/>
      <color theme="1"/>
      <name val="Aptos"/>
      <family val="2"/>
    </font>
    <font>
      <sz val="8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007B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3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2" fillId="8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CC72-3912-478A-9F8E-082B65FB2023}">
  <dimension ref="A1:E43"/>
  <sheetViews>
    <sheetView workbookViewId="0">
      <selection activeCell="B34" sqref="B34"/>
    </sheetView>
  </sheetViews>
  <sheetFormatPr defaultRowHeight="19.95" customHeight="1" x14ac:dyDescent="0.3"/>
  <cols>
    <col min="1" max="1" width="42.1796875" style="3" bestFit="1" customWidth="1"/>
    <col min="2" max="2" width="20.6328125" style="4" customWidth="1"/>
    <col min="3" max="3" width="12.1796875" style="4" bestFit="1" customWidth="1"/>
    <col min="4" max="4" width="8.7265625" style="4"/>
    <col min="5" max="5" width="9" style="4" bestFit="1" customWidth="1"/>
    <col min="6" max="16384" width="8.7265625" style="1"/>
  </cols>
  <sheetData>
    <row r="1" spans="1:3" ht="19.95" customHeight="1" x14ac:dyDescent="0.3">
      <c r="A1" s="8"/>
      <c r="B1" s="9"/>
    </row>
    <row r="2" spans="1:3" ht="19.95" customHeight="1" x14ac:dyDescent="0.3">
      <c r="A2" s="10" t="s">
        <v>2</v>
      </c>
      <c r="B2" s="11">
        <v>1440</v>
      </c>
      <c r="C2" s="19" t="s">
        <v>40</v>
      </c>
    </row>
    <row r="3" spans="1:3" ht="19.95" customHeight="1" x14ac:dyDescent="0.3">
      <c r="A3" s="8"/>
      <c r="B3" s="9"/>
    </row>
    <row r="4" spans="1:3" ht="19.95" customHeight="1" x14ac:dyDescent="0.3">
      <c r="A4" s="10" t="s">
        <v>23</v>
      </c>
      <c r="B4" s="16">
        <f>SUM(B11:B22)</f>
        <v>56706</v>
      </c>
    </row>
    <row r="5" spans="1:3" ht="19.95" customHeight="1" x14ac:dyDescent="0.3">
      <c r="A5" s="12" t="s">
        <v>4</v>
      </c>
      <c r="B5" s="9"/>
    </row>
    <row r="6" spans="1:3" ht="19.95" customHeight="1" x14ac:dyDescent="0.3">
      <c r="A6" s="8"/>
      <c r="B6" s="9"/>
    </row>
    <row r="7" spans="1:3" ht="19.95" customHeight="1" x14ac:dyDescent="0.3">
      <c r="A7" s="10" t="s">
        <v>36</v>
      </c>
      <c r="B7" s="16">
        <f>ROUNDUP(B2/Calculation!C3,0)</f>
        <v>6</v>
      </c>
    </row>
    <row r="8" spans="1:3" ht="19.95" customHeight="1" x14ac:dyDescent="0.3">
      <c r="A8" s="12" t="s">
        <v>4</v>
      </c>
      <c r="B8" s="9"/>
    </row>
    <row r="9" spans="1:3" ht="19.95" customHeight="1" x14ac:dyDescent="0.3">
      <c r="A9" s="8"/>
      <c r="B9" s="9"/>
    </row>
    <row r="10" spans="1:3" ht="19.95" customHeight="1" x14ac:dyDescent="0.3">
      <c r="A10" s="10" t="s">
        <v>33</v>
      </c>
      <c r="B10" s="14" t="s">
        <v>27</v>
      </c>
    </row>
    <row r="11" spans="1:3" ht="19.95" customHeight="1" x14ac:dyDescent="0.3">
      <c r="A11" s="30" t="s">
        <v>44</v>
      </c>
      <c r="B11" s="16">
        <f>Calculation!C12</f>
        <v>3059</v>
      </c>
      <c r="C11" s="7"/>
    </row>
    <row r="12" spans="1:3" ht="19.95" customHeight="1" x14ac:dyDescent="0.3">
      <c r="A12" s="30" t="s">
        <v>42</v>
      </c>
      <c r="B12" s="16">
        <f>$B$2*Calculation!E13</f>
        <v>200</v>
      </c>
      <c r="C12" s="7"/>
    </row>
    <row r="13" spans="1:3" ht="19.95" customHeight="1" x14ac:dyDescent="0.3">
      <c r="A13" s="30" t="s">
        <v>43</v>
      </c>
      <c r="B13" s="16">
        <f>$B$2*Calculation!E14</f>
        <v>1400</v>
      </c>
      <c r="C13" s="7"/>
    </row>
    <row r="14" spans="1:3" ht="19.95" customHeight="1" x14ac:dyDescent="0.3">
      <c r="A14" s="30" t="s">
        <v>28</v>
      </c>
      <c r="B14" s="16">
        <f>Calculation!C15</f>
        <v>770</v>
      </c>
      <c r="C14" s="7"/>
    </row>
    <row r="15" spans="1:3" ht="19.95" customHeight="1" x14ac:dyDescent="0.3">
      <c r="A15" s="30" t="s">
        <v>46</v>
      </c>
      <c r="B15" s="16">
        <f>Calculation!C16</f>
        <v>3130</v>
      </c>
      <c r="C15" s="7"/>
    </row>
    <row r="16" spans="1:3" ht="19.95" customHeight="1" x14ac:dyDescent="0.3">
      <c r="A16" s="30" t="s">
        <v>47</v>
      </c>
      <c r="B16" s="16">
        <f>$B$2*Calculation!E17</f>
        <v>1500</v>
      </c>
      <c r="C16" s="7"/>
    </row>
    <row r="17" spans="1:3" ht="19.95" customHeight="1" x14ac:dyDescent="0.3">
      <c r="A17" s="30" t="s">
        <v>48</v>
      </c>
      <c r="B17" s="16">
        <f>$B$2*Calculation!E18</f>
        <v>300</v>
      </c>
      <c r="C17" s="7"/>
    </row>
    <row r="18" spans="1:3" ht="19.95" customHeight="1" x14ac:dyDescent="0.3">
      <c r="A18" s="30" t="s">
        <v>0</v>
      </c>
      <c r="B18" s="16">
        <f>Calculation!C19</f>
        <v>1926</v>
      </c>
      <c r="C18" s="7"/>
    </row>
    <row r="19" spans="1:3" ht="19.95" customHeight="1" x14ac:dyDescent="0.3">
      <c r="A19" s="30" t="s">
        <v>29</v>
      </c>
      <c r="B19" s="16">
        <f>Calculation!C20+((B7-6)*1200)</f>
        <v>7257</v>
      </c>
      <c r="C19" s="7"/>
    </row>
    <row r="20" spans="1:3" ht="19.95" customHeight="1" x14ac:dyDescent="0.3">
      <c r="A20" s="30" t="s">
        <v>1</v>
      </c>
      <c r="B20" s="16">
        <f>Calculation!C21*IF($B$7&gt;=12,2,1)</f>
        <v>648</v>
      </c>
      <c r="C20" s="7"/>
    </row>
    <row r="21" spans="1:3" ht="19.95" customHeight="1" x14ac:dyDescent="0.3">
      <c r="A21" s="30" t="s">
        <v>30</v>
      </c>
      <c r="B21" s="16">
        <f>((B7-1)*Calculation!C22)</f>
        <v>30430</v>
      </c>
      <c r="C21" s="2"/>
    </row>
    <row r="22" spans="1:3" ht="19.95" customHeight="1" x14ac:dyDescent="0.3">
      <c r="A22" s="30" t="s">
        <v>31</v>
      </c>
      <c r="B22" s="16">
        <f>Calculation!C23*IF($B$7&gt;=12,2,1)</f>
        <v>6086</v>
      </c>
      <c r="C22" s="7"/>
    </row>
    <row r="23" spans="1:3" ht="19.95" customHeight="1" x14ac:dyDescent="0.3">
      <c r="A23" s="8"/>
      <c r="B23" s="13"/>
      <c r="C23" s="5"/>
    </row>
    <row r="24" spans="1:3" ht="19.95" customHeight="1" x14ac:dyDescent="0.3">
      <c r="A24" s="10" t="s">
        <v>3</v>
      </c>
      <c r="B24" s="16">
        <f>((B2*Calculation!C5)/4046.86)</f>
        <v>51.061810885476639</v>
      </c>
      <c r="C24" s="5"/>
    </row>
    <row r="25" spans="1:3" ht="19.95" customHeight="1" x14ac:dyDescent="0.3">
      <c r="A25" s="12" t="s">
        <v>4</v>
      </c>
      <c r="B25" s="5"/>
      <c r="C25" s="5"/>
    </row>
    <row r="26" spans="1:3" ht="19.95" customHeight="1" x14ac:dyDescent="0.3">
      <c r="A26" s="8"/>
      <c r="B26" s="13"/>
      <c r="C26" s="5"/>
    </row>
    <row r="27" spans="1:3" ht="19.95" customHeight="1" x14ac:dyDescent="0.3">
      <c r="A27" s="10" t="s">
        <v>77</v>
      </c>
      <c r="B27" s="11" t="s">
        <v>74</v>
      </c>
      <c r="C27" s="19" t="s">
        <v>96</v>
      </c>
    </row>
    <row r="28" spans="1:3" ht="19.95" customHeight="1" x14ac:dyDescent="0.3">
      <c r="A28" s="12"/>
      <c r="B28" s="9"/>
    </row>
    <row r="29" spans="1:3" ht="19.95" customHeight="1" x14ac:dyDescent="0.3">
      <c r="A29" s="10" t="s">
        <v>41</v>
      </c>
      <c r="B29" s="16">
        <f>Calculation!C7+((B7-1)*Calculation!C8)+Calculation!C9</f>
        <v>154</v>
      </c>
      <c r="C29" s="5"/>
    </row>
    <row r="30" spans="1:3" ht="19.95" customHeight="1" x14ac:dyDescent="0.3">
      <c r="A30" s="12" t="s">
        <v>5</v>
      </c>
      <c r="B30" s="13"/>
      <c r="C30" s="5"/>
    </row>
    <row r="31" spans="1:3" ht="19.95" customHeight="1" x14ac:dyDescent="0.3">
      <c r="A31" s="8"/>
      <c r="B31" s="13"/>
      <c r="C31" s="5"/>
    </row>
    <row r="32" spans="1:3" ht="19.95" customHeight="1" x14ac:dyDescent="0.3">
      <c r="A32" s="10" t="s">
        <v>25</v>
      </c>
      <c r="B32" s="14" t="s">
        <v>24</v>
      </c>
      <c r="C32" s="5"/>
    </row>
    <row r="33" spans="1:2" ht="19.95" customHeight="1" x14ac:dyDescent="0.3">
      <c r="A33" s="30" t="s">
        <v>14</v>
      </c>
      <c r="B33" s="15">
        <f>$B$4*Calculation!C34</f>
        <v>0</v>
      </c>
    </row>
    <row r="34" spans="1:2" ht="19.95" customHeight="1" x14ac:dyDescent="0.3">
      <c r="A34" s="30" t="s">
        <v>15</v>
      </c>
      <c r="B34" s="15" cm="1">
        <f t="array" ref="B34">($B$4*Calculation!C35)*Calculation!$C$48*INDEX(Calculation!$D$59:$D$84,MATCH($B$27,Calculation!$B$59:$B$84,0)+ROUND($B$29/2/13,0))</f>
        <v>30945982.794764474</v>
      </c>
    </row>
    <row r="35" spans="1:2" ht="19.95" customHeight="1" x14ac:dyDescent="0.3">
      <c r="A35" s="30" t="s">
        <v>16</v>
      </c>
      <c r="B35" s="15" cm="1">
        <f t="array" ref="B35">($B$4*Calculation!C36)*Calculation!$C$48*INDEX(Calculation!$D$59:$D$84,MATCH($B$27,Calculation!$B$59:$B$84,0)+ROUND($B$29/2/13,0))</f>
        <v>111051172.66199131</v>
      </c>
    </row>
    <row r="36" spans="1:2" ht="19.95" customHeight="1" x14ac:dyDescent="0.3">
      <c r="A36" s="30" t="s">
        <v>17</v>
      </c>
      <c r="B36" s="15" cm="1">
        <f t="array" ref="B36">($B$4*Calculation!C37)*Calculation!$C$48*INDEX(Calculation!$D$59:$D$84,MATCH($B$27,Calculation!$B$59:$B$84,0)+ROUND($B$29/2/13,0))</f>
        <v>29514290.284033149</v>
      </c>
    </row>
    <row r="37" spans="1:2" ht="19.95" customHeight="1" x14ac:dyDescent="0.3">
      <c r="A37" s="30" t="s">
        <v>18</v>
      </c>
      <c r="B37" s="15" cm="1">
        <f t="array" ref="B37">($B$4*Calculation!C38)*Calculation!$C$48*INDEX(Calculation!$D$59:$D$84,MATCH($B$27,Calculation!$B$59:$B$84,0)+ROUND($B$29/2/13,0))</f>
        <v>25628937.970639389</v>
      </c>
    </row>
    <row r="38" spans="1:2" ht="19.95" customHeight="1" x14ac:dyDescent="0.3">
      <c r="A38" s="30" t="s">
        <v>19</v>
      </c>
      <c r="B38" s="15" cm="1">
        <f t="array" ref="B38">($B$4*Calculation!C39)*Calculation!$C$48*INDEX(Calculation!$D$59:$D$84,MATCH($B$27,Calculation!$B$59:$B$84,0)+ROUND($B$29/2/13,0))</f>
        <v>8450973.5969329271</v>
      </c>
    </row>
    <row r="39" spans="1:2" ht="19.95" customHeight="1" x14ac:dyDescent="0.3">
      <c r="A39" s="30" t="s">
        <v>20</v>
      </c>
      <c r="B39" s="15" cm="1">
        <f t="array" ref="B39">($B$4*Calculation!C40)*Calculation!$C$48*INDEX(Calculation!$D$59:$D$84,MATCH($B$27,Calculation!$B$59:$B$84,0)+ROUND($B$29/2/13,0))</f>
        <v>175825289.31353864</v>
      </c>
    </row>
    <row r="40" spans="1:2" ht="19.95" customHeight="1" x14ac:dyDescent="0.3">
      <c r="A40" s="30" t="s">
        <v>21</v>
      </c>
      <c r="B40" s="15" cm="1">
        <f t="array" ref="B40">($B$4*Calculation!C41)*Calculation!$C$48*INDEX(Calculation!$D$59:$D$84,MATCH($B$27,Calculation!$B$59:$B$84,0)+ROUND($B$29/2/13,0))</f>
        <v>132275564.53052826</v>
      </c>
    </row>
    <row r="41" spans="1:2" ht="19.95" customHeight="1" x14ac:dyDescent="0.3">
      <c r="A41" s="32" t="s">
        <v>56</v>
      </c>
      <c r="B41" s="31">
        <f>SUM(B33:B40)</f>
        <v>513692211.15242809</v>
      </c>
    </row>
    <row r="43" spans="1:2" ht="19.95" customHeight="1" x14ac:dyDescent="0.3">
      <c r="A43" s="8"/>
      <c r="B43" s="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7B47DD-E6BE-416A-A25D-1489EA079BCD}">
          <x14:formula1>
            <xm:f>Calculation!$B$59:$B$84</xm:f>
          </x14:formula1>
          <xm:sqref>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8604-DBB0-4EEB-A8FC-150C4362C137}">
  <dimension ref="B1:F84"/>
  <sheetViews>
    <sheetView tabSelected="1" topLeftCell="A8" workbookViewId="0">
      <selection activeCell="E52" sqref="E52"/>
    </sheetView>
  </sheetViews>
  <sheetFormatPr defaultRowHeight="14.4" x14ac:dyDescent="0.3"/>
  <cols>
    <col min="1" max="1" width="3.1796875" style="1" customWidth="1"/>
    <col min="2" max="2" width="37" style="1" bestFit="1" customWidth="1"/>
    <col min="3" max="6" width="25.6328125" style="1" customWidth="1"/>
    <col min="7" max="7" width="8.7265625" style="1"/>
    <col min="8" max="8" width="25.6328125" style="1" customWidth="1"/>
    <col min="9" max="16384" width="8.7265625" style="1"/>
  </cols>
  <sheetData>
    <row r="1" spans="2:6" ht="19.95" customHeight="1" x14ac:dyDescent="0.3"/>
    <row r="2" spans="2:6" ht="19.95" customHeight="1" x14ac:dyDescent="0.3">
      <c r="B2" s="17" t="s">
        <v>34</v>
      </c>
      <c r="C2" s="20">
        <v>1440</v>
      </c>
    </row>
    <row r="3" spans="2:6" ht="19.95" customHeight="1" x14ac:dyDescent="0.3">
      <c r="B3" s="17" t="s">
        <v>35</v>
      </c>
      <c r="C3" s="20">
        <v>240</v>
      </c>
    </row>
    <row r="4" spans="2:6" ht="19.95" customHeight="1" x14ac:dyDescent="0.3">
      <c r="B4" s="18" t="s">
        <v>27</v>
      </c>
      <c r="C4" s="20">
        <f>SUM(C12:C21)+(5*C22)+C23</f>
        <v>56706</v>
      </c>
    </row>
    <row r="5" spans="2:6" ht="19.95" customHeight="1" x14ac:dyDescent="0.3">
      <c r="B5" s="17" t="s">
        <v>55</v>
      </c>
      <c r="C5" s="21">
        <v>143.5</v>
      </c>
    </row>
    <row r="6" spans="2:6" ht="19.95" customHeight="1" x14ac:dyDescent="0.3">
      <c r="B6" s="17" t="s">
        <v>32</v>
      </c>
      <c r="C6" s="21">
        <f>C4/C2</f>
        <v>39.37916666666667</v>
      </c>
    </row>
    <row r="7" spans="2:6" ht="19.95" customHeight="1" x14ac:dyDescent="0.3">
      <c r="B7" s="17" t="s">
        <v>37</v>
      </c>
      <c r="C7" s="21">
        <v>122</v>
      </c>
    </row>
    <row r="8" spans="2:6" ht="19.95" customHeight="1" x14ac:dyDescent="0.3">
      <c r="B8" s="17" t="s">
        <v>38</v>
      </c>
      <c r="C8" s="21">
        <v>4</v>
      </c>
    </row>
    <row r="9" spans="2:6" ht="19.95" customHeight="1" x14ac:dyDescent="0.3">
      <c r="B9" s="17" t="s">
        <v>39</v>
      </c>
      <c r="C9" s="21">
        <v>12</v>
      </c>
    </row>
    <row r="10" spans="2:6" ht="19.95" customHeight="1" x14ac:dyDescent="0.3"/>
    <row r="11" spans="2:6" ht="19.95" customHeight="1" x14ac:dyDescent="0.3">
      <c r="B11" s="24" t="s">
        <v>26</v>
      </c>
      <c r="C11" s="14" t="s">
        <v>27</v>
      </c>
      <c r="D11" s="14" t="s">
        <v>49</v>
      </c>
      <c r="E11" s="14" t="s">
        <v>52</v>
      </c>
      <c r="F11" s="14" t="s">
        <v>51</v>
      </c>
    </row>
    <row r="12" spans="2:6" ht="19.95" customHeight="1" x14ac:dyDescent="0.3">
      <c r="B12" s="22" t="s">
        <v>44</v>
      </c>
      <c r="C12" s="20">
        <v>3059</v>
      </c>
      <c r="D12" s="25" t="s">
        <v>45</v>
      </c>
      <c r="E12" s="25"/>
      <c r="F12" s="26"/>
    </row>
    <row r="13" spans="2:6" ht="19.95" customHeight="1" x14ac:dyDescent="0.3">
      <c r="B13" s="22" t="s">
        <v>42</v>
      </c>
      <c r="C13" s="20">
        <f>$C$2*E13</f>
        <v>200</v>
      </c>
      <c r="D13" s="27"/>
      <c r="E13" s="28">
        <f>200/1440</f>
        <v>0.1388888888888889</v>
      </c>
      <c r="F13" s="26"/>
    </row>
    <row r="14" spans="2:6" ht="19.95" customHeight="1" x14ac:dyDescent="0.3">
      <c r="B14" s="22" t="s">
        <v>43</v>
      </c>
      <c r="C14" s="20">
        <f>$C$2*E14</f>
        <v>1400</v>
      </c>
      <c r="D14" s="27"/>
      <c r="E14" s="29">
        <f>1400/1440</f>
        <v>0.97222222222222221</v>
      </c>
      <c r="F14" s="26"/>
    </row>
    <row r="15" spans="2:6" ht="19.95" customHeight="1" x14ac:dyDescent="0.3">
      <c r="B15" s="22" t="s">
        <v>28</v>
      </c>
      <c r="C15" s="20">
        <v>770</v>
      </c>
      <c r="D15" s="25" t="s">
        <v>45</v>
      </c>
      <c r="E15" s="28"/>
      <c r="F15" s="26"/>
    </row>
    <row r="16" spans="2:6" ht="19.95" customHeight="1" x14ac:dyDescent="0.3">
      <c r="B16" s="22" t="s">
        <v>46</v>
      </c>
      <c r="C16" s="20">
        <v>3130</v>
      </c>
      <c r="D16" s="25" t="s">
        <v>45</v>
      </c>
      <c r="E16" s="28"/>
      <c r="F16" s="26"/>
    </row>
    <row r="17" spans="2:6" ht="19.95" customHeight="1" x14ac:dyDescent="0.3">
      <c r="B17" s="22" t="s">
        <v>47</v>
      </c>
      <c r="C17" s="20">
        <f t="shared" ref="C17:C18" si="0">$C$2*E17</f>
        <v>1500</v>
      </c>
      <c r="D17" s="27"/>
      <c r="E17" s="28">
        <f>1500/1440</f>
        <v>1.0416666666666667</v>
      </c>
      <c r="F17" s="26"/>
    </row>
    <row r="18" spans="2:6" ht="19.95" customHeight="1" x14ac:dyDescent="0.3">
      <c r="B18" s="22" t="s">
        <v>48</v>
      </c>
      <c r="C18" s="20">
        <f t="shared" si="0"/>
        <v>300</v>
      </c>
      <c r="D18" s="27"/>
      <c r="E18" s="28">
        <f>300/1440</f>
        <v>0.20833333333333334</v>
      </c>
      <c r="F18" s="26"/>
    </row>
    <row r="19" spans="2:6" ht="19.95" customHeight="1" x14ac:dyDescent="0.3">
      <c r="B19" s="22" t="s">
        <v>0</v>
      </c>
      <c r="C19" s="20">
        <v>1926</v>
      </c>
      <c r="D19" s="25" t="s">
        <v>45</v>
      </c>
      <c r="E19" s="25"/>
      <c r="F19" s="26"/>
    </row>
    <row r="20" spans="2:6" ht="19.95" customHeight="1" x14ac:dyDescent="0.3">
      <c r="B20" s="22" t="s">
        <v>29</v>
      </c>
      <c r="C20" s="20">
        <v>7257</v>
      </c>
      <c r="D20" s="26"/>
      <c r="E20" s="20">
        <v>1200</v>
      </c>
      <c r="F20" s="25" t="s">
        <v>50</v>
      </c>
    </row>
    <row r="21" spans="2:6" ht="19.95" customHeight="1" x14ac:dyDescent="0.3">
      <c r="B21" s="22" t="s">
        <v>1</v>
      </c>
      <c r="C21" s="20">
        <v>648</v>
      </c>
      <c r="D21" s="25" t="s">
        <v>45</v>
      </c>
      <c r="E21" s="26"/>
      <c r="F21" s="25" t="s">
        <v>54</v>
      </c>
    </row>
    <row r="22" spans="2:6" ht="19.95" customHeight="1" x14ac:dyDescent="0.3">
      <c r="B22" s="22" t="s">
        <v>30</v>
      </c>
      <c r="C22" s="20">
        <v>6086</v>
      </c>
      <c r="D22" s="25" t="s">
        <v>45</v>
      </c>
      <c r="E22" s="26"/>
      <c r="F22" s="25"/>
    </row>
    <row r="23" spans="2:6" ht="19.95" customHeight="1" x14ac:dyDescent="0.3">
      <c r="B23" s="22" t="s">
        <v>31</v>
      </c>
      <c r="C23" s="20">
        <v>6086</v>
      </c>
      <c r="D23" s="25" t="s">
        <v>45</v>
      </c>
      <c r="E23" s="26"/>
      <c r="F23" s="25" t="s">
        <v>53</v>
      </c>
    </row>
    <row r="24" spans="2:6" ht="19.95" customHeight="1" x14ac:dyDescent="0.3"/>
    <row r="25" spans="2:6" ht="19.95" customHeight="1" x14ac:dyDescent="0.3">
      <c r="B25" s="24" t="s">
        <v>25</v>
      </c>
      <c r="C25" s="14" t="s">
        <v>24</v>
      </c>
      <c r="D25" s="14" t="s">
        <v>51</v>
      </c>
    </row>
    <row r="26" spans="2:6" ht="19.95" customHeight="1" x14ac:dyDescent="0.3">
      <c r="B26" s="22" t="s">
        <v>6</v>
      </c>
      <c r="C26" s="23">
        <v>119.35</v>
      </c>
      <c r="D26" s="33" t="s">
        <v>57</v>
      </c>
    </row>
    <row r="27" spans="2:6" ht="19.95" customHeight="1" x14ac:dyDescent="0.3">
      <c r="B27" s="22" t="s">
        <v>7</v>
      </c>
      <c r="C27" s="23">
        <v>313.72000000000003</v>
      </c>
      <c r="D27" s="33" t="s">
        <v>58</v>
      </c>
    </row>
    <row r="28" spans="2:6" ht="19.95" customHeight="1" x14ac:dyDescent="0.3">
      <c r="B28" s="22" t="s">
        <v>8</v>
      </c>
      <c r="C28" s="23">
        <v>438.59</v>
      </c>
      <c r="D28" s="33" t="s">
        <v>59</v>
      </c>
    </row>
    <row r="29" spans="2:6" ht="19.95" customHeight="1" x14ac:dyDescent="0.3">
      <c r="B29" s="22" t="s">
        <v>9</v>
      </c>
      <c r="C29" s="23">
        <v>494.42</v>
      </c>
      <c r="D29" s="33" t="s">
        <v>60</v>
      </c>
    </row>
    <row r="30" spans="2:6" ht="19.95" customHeight="1" x14ac:dyDescent="0.3">
      <c r="B30" s="22" t="s">
        <v>10</v>
      </c>
      <c r="C30" s="23">
        <v>143.34</v>
      </c>
      <c r="D30" s="33" t="s">
        <v>61</v>
      </c>
    </row>
    <row r="31" spans="2:6" ht="19.95" customHeight="1" x14ac:dyDescent="0.3">
      <c r="B31" s="22" t="s">
        <v>11</v>
      </c>
      <c r="C31" s="23">
        <v>31.41</v>
      </c>
      <c r="D31" s="33" t="s">
        <v>62</v>
      </c>
    </row>
    <row r="32" spans="2:6" ht="19.95" customHeight="1" x14ac:dyDescent="0.3">
      <c r="B32" s="22" t="s">
        <v>12</v>
      </c>
      <c r="C32" s="23">
        <v>21.18</v>
      </c>
      <c r="D32" s="33" t="s">
        <v>63</v>
      </c>
    </row>
    <row r="33" spans="2:6" ht="19.95" customHeight="1" x14ac:dyDescent="0.3">
      <c r="B33" s="22" t="s">
        <v>13</v>
      </c>
      <c r="C33" s="23"/>
      <c r="D33" s="33" t="s">
        <v>64</v>
      </c>
    </row>
    <row r="34" spans="2:6" ht="19.95" customHeight="1" x14ac:dyDescent="0.3">
      <c r="B34" s="22" t="s">
        <v>14</v>
      </c>
      <c r="C34" s="23"/>
      <c r="D34" s="33"/>
    </row>
    <row r="35" spans="2:6" ht="19.95" customHeight="1" x14ac:dyDescent="0.3">
      <c r="B35" s="22" t="s">
        <v>15</v>
      </c>
      <c r="C35" s="23">
        <v>395.77</v>
      </c>
      <c r="D35" s="33"/>
    </row>
    <row r="36" spans="2:6" ht="19.95" customHeight="1" x14ac:dyDescent="0.3">
      <c r="B36" s="22" t="s">
        <v>16</v>
      </c>
      <c r="C36" s="23">
        <v>1420.24</v>
      </c>
      <c r="D36" s="33"/>
    </row>
    <row r="37" spans="2:6" ht="19.95" customHeight="1" x14ac:dyDescent="0.3">
      <c r="B37" s="22" t="s">
        <v>17</v>
      </c>
      <c r="C37" s="23">
        <v>377.46</v>
      </c>
      <c r="D37" s="33"/>
    </row>
    <row r="38" spans="2:6" ht="19.95" customHeight="1" x14ac:dyDescent="0.3">
      <c r="B38" s="22" t="s">
        <v>18</v>
      </c>
      <c r="C38" s="23">
        <v>327.77</v>
      </c>
      <c r="D38" s="33"/>
      <c r="E38" s="7"/>
    </row>
    <row r="39" spans="2:6" ht="19.95" customHeight="1" x14ac:dyDescent="0.3">
      <c r="B39" s="22" t="s">
        <v>19</v>
      </c>
      <c r="C39" s="23">
        <v>108.08</v>
      </c>
      <c r="D39" s="33"/>
      <c r="E39" s="6"/>
    </row>
    <row r="40" spans="2:6" ht="19.95" customHeight="1" x14ac:dyDescent="0.3">
      <c r="B40" s="22" t="s">
        <v>20</v>
      </c>
      <c r="C40" s="23">
        <v>2248.64</v>
      </c>
      <c r="D40" s="33"/>
      <c r="E40" s="6"/>
    </row>
    <row r="41" spans="2:6" ht="19.95" customHeight="1" x14ac:dyDescent="0.3">
      <c r="B41" s="22" t="s">
        <v>21</v>
      </c>
      <c r="C41" s="23">
        <v>1691.68</v>
      </c>
      <c r="D41" s="33"/>
      <c r="E41" s="3"/>
    </row>
    <row r="42" spans="2:6" ht="19.95" customHeight="1" x14ac:dyDescent="0.3">
      <c r="B42" s="22" t="s">
        <v>97</v>
      </c>
      <c r="C42" s="23"/>
      <c r="D42" s="33"/>
      <c r="E42" s="3"/>
    </row>
    <row r="43" spans="2:6" ht="19.95" customHeight="1" x14ac:dyDescent="0.3">
      <c r="B43" s="22" t="s">
        <v>22</v>
      </c>
      <c r="C43" s="23">
        <v>-118.84</v>
      </c>
      <c r="D43" s="33"/>
      <c r="E43" s="3"/>
    </row>
    <row r="44" spans="2:6" ht="19.95" hidden="1" customHeight="1" x14ac:dyDescent="0.3">
      <c r="C44" s="5">
        <f>SUM(C26:C43)</f>
        <v>8012.8100000000013</v>
      </c>
      <c r="D44" s="5">
        <f>C44*Calculation!C4</f>
        <v>454374403.86000007</v>
      </c>
      <c r="E44" s="3"/>
    </row>
    <row r="45" spans="2:6" hidden="1" x14ac:dyDescent="0.3">
      <c r="E45" s="3"/>
    </row>
    <row r="46" spans="2:6" hidden="1" x14ac:dyDescent="0.3">
      <c r="C46" s="5">
        <f>SUM(C26:C32)+C43</f>
        <v>1443.1700000000003</v>
      </c>
      <c r="E46" s="3"/>
    </row>
    <row r="47" spans="2:6" hidden="1" x14ac:dyDescent="0.3">
      <c r="C47" s="5">
        <f>SUM(C35:C41)</f>
        <v>6569.6399999999994</v>
      </c>
      <c r="E47" s="3"/>
      <c r="F47" s="3"/>
    </row>
    <row r="48" spans="2:6" ht="19.95" customHeight="1" x14ac:dyDescent="0.3">
      <c r="B48" s="22" t="s">
        <v>65</v>
      </c>
      <c r="C48" s="28">
        <f>C46/C47+1</f>
        <v>1.2196726152422355</v>
      </c>
      <c r="D48" s="33"/>
    </row>
    <row r="50" spans="2:5" ht="19.95" customHeight="1" x14ac:dyDescent="0.3">
      <c r="B50" s="34" t="s">
        <v>66</v>
      </c>
      <c r="C50" s="34" t="s">
        <v>67</v>
      </c>
      <c r="D50" s="34" t="s">
        <v>76</v>
      </c>
    </row>
    <row r="51" spans="2:5" ht="19.95" customHeight="1" x14ac:dyDescent="0.3">
      <c r="B51" s="36" t="s">
        <v>105</v>
      </c>
      <c r="C51" s="35">
        <v>379</v>
      </c>
      <c r="D51" s="28">
        <f>((C51-$C$52)/$C$52)+1</f>
        <v>0.98955613577023493</v>
      </c>
    </row>
    <row r="52" spans="2:5" ht="19.95" customHeight="1" x14ac:dyDescent="0.3">
      <c r="B52" s="36" t="s">
        <v>98</v>
      </c>
      <c r="C52" s="37">
        <v>383</v>
      </c>
      <c r="D52" s="38">
        <f>((C52-$C$52)/$C$52)+1</f>
        <v>1</v>
      </c>
      <c r="E52" s="39" t="s">
        <v>106</v>
      </c>
    </row>
    <row r="53" spans="2:5" ht="19.95" customHeight="1" x14ac:dyDescent="0.3">
      <c r="B53" s="36" t="s">
        <v>99</v>
      </c>
      <c r="C53" s="35">
        <v>386</v>
      </c>
      <c r="D53" s="28">
        <f t="shared" ref="D53:D84" si="1">((C53-$C$52)/$C$52)+1</f>
        <v>1.0078328981723237</v>
      </c>
    </row>
    <row r="54" spans="2:5" ht="19.95" customHeight="1" x14ac:dyDescent="0.3">
      <c r="B54" s="36" t="s">
        <v>100</v>
      </c>
      <c r="C54" s="35">
        <v>388</v>
      </c>
      <c r="D54" s="28">
        <f t="shared" si="1"/>
        <v>1.0130548302872062</v>
      </c>
    </row>
    <row r="55" spans="2:5" ht="19.95" customHeight="1" x14ac:dyDescent="0.3">
      <c r="B55" s="36" t="s">
        <v>101</v>
      </c>
      <c r="C55" s="35">
        <v>390</v>
      </c>
      <c r="D55" s="28">
        <f t="shared" si="1"/>
        <v>1.0182767624020888</v>
      </c>
    </row>
    <row r="56" spans="2:5" ht="19.95" customHeight="1" x14ac:dyDescent="0.3">
      <c r="B56" s="36" t="s">
        <v>102</v>
      </c>
      <c r="C56" s="35">
        <v>392</v>
      </c>
      <c r="D56" s="28">
        <f t="shared" si="1"/>
        <v>1.0234986945169713</v>
      </c>
    </row>
    <row r="57" spans="2:5" ht="19.95" customHeight="1" x14ac:dyDescent="0.3">
      <c r="B57" s="36" t="s">
        <v>103</v>
      </c>
      <c r="C57" s="35">
        <v>394</v>
      </c>
      <c r="D57" s="28">
        <f t="shared" si="1"/>
        <v>1.0287206266318538</v>
      </c>
    </row>
    <row r="58" spans="2:5" ht="19.95" customHeight="1" x14ac:dyDescent="0.3">
      <c r="B58" s="36" t="s">
        <v>104</v>
      </c>
      <c r="C58" s="35">
        <v>397</v>
      </c>
      <c r="D58" s="28">
        <f t="shared" si="1"/>
        <v>1.0365535248041775</v>
      </c>
    </row>
    <row r="59" spans="2:5" ht="19.95" customHeight="1" x14ac:dyDescent="0.3">
      <c r="B59" s="36" t="s">
        <v>68</v>
      </c>
      <c r="C59" s="35">
        <v>399</v>
      </c>
      <c r="D59" s="28">
        <f t="shared" si="1"/>
        <v>1.04177545691906</v>
      </c>
    </row>
    <row r="60" spans="2:5" ht="19.95" customHeight="1" x14ac:dyDescent="0.3">
      <c r="B60" s="36" t="s">
        <v>69</v>
      </c>
      <c r="C60" s="35">
        <v>401</v>
      </c>
      <c r="D60" s="28">
        <f t="shared" si="1"/>
        <v>1.0469973890339426</v>
      </c>
    </row>
    <row r="61" spans="2:5" ht="19.95" customHeight="1" x14ac:dyDescent="0.3">
      <c r="B61" s="36" t="s">
        <v>70</v>
      </c>
      <c r="C61" s="35">
        <v>404</v>
      </c>
      <c r="D61" s="28">
        <f t="shared" si="1"/>
        <v>1.0548302872062663</v>
      </c>
    </row>
    <row r="62" spans="2:5" ht="19.95" customHeight="1" x14ac:dyDescent="0.3">
      <c r="B62" s="36" t="s">
        <v>71</v>
      </c>
      <c r="C62" s="35">
        <v>407</v>
      </c>
      <c r="D62" s="28">
        <f t="shared" si="1"/>
        <v>1.0626631853785902</v>
      </c>
    </row>
    <row r="63" spans="2:5" ht="19.95" customHeight="1" x14ac:dyDescent="0.3">
      <c r="B63" s="36" t="s">
        <v>72</v>
      </c>
      <c r="C63" s="35">
        <v>410</v>
      </c>
      <c r="D63" s="28">
        <f t="shared" si="1"/>
        <v>1.0704960835509139</v>
      </c>
    </row>
    <row r="64" spans="2:5" ht="19.95" customHeight="1" x14ac:dyDescent="0.3">
      <c r="B64" s="36" t="s">
        <v>73</v>
      </c>
      <c r="C64" s="35">
        <v>414</v>
      </c>
      <c r="D64" s="28">
        <f t="shared" si="1"/>
        <v>1.0809399477806789</v>
      </c>
    </row>
    <row r="65" spans="2:4" ht="19.95" customHeight="1" x14ac:dyDescent="0.3">
      <c r="B65" s="36" t="s">
        <v>74</v>
      </c>
      <c r="C65" s="35">
        <v>417</v>
      </c>
      <c r="D65" s="28">
        <f t="shared" si="1"/>
        <v>1.0887728459530026</v>
      </c>
    </row>
    <row r="66" spans="2:4" ht="19.95" customHeight="1" x14ac:dyDescent="0.3">
      <c r="B66" s="36" t="s">
        <v>75</v>
      </c>
      <c r="C66" s="35">
        <v>419</v>
      </c>
      <c r="D66" s="28">
        <f t="shared" si="1"/>
        <v>1.0939947780678851</v>
      </c>
    </row>
    <row r="67" spans="2:4" ht="19.95" customHeight="1" x14ac:dyDescent="0.3">
      <c r="B67" s="36" t="s">
        <v>78</v>
      </c>
      <c r="C67" s="35">
        <v>422</v>
      </c>
      <c r="D67" s="28">
        <f t="shared" si="1"/>
        <v>1.1018276762402088</v>
      </c>
    </row>
    <row r="68" spans="2:4" ht="19.95" customHeight="1" x14ac:dyDescent="0.3">
      <c r="B68" s="36" t="s">
        <v>79</v>
      </c>
      <c r="C68" s="35">
        <v>425</v>
      </c>
      <c r="D68" s="28">
        <f t="shared" si="1"/>
        <v>1.1096605744125327</v>
      </c>
    </row>
    <row r="69" spans="2:4" ht="19.95" customHeight="1" x14ac:dyDescent="0.3">
      <c r="B69" s="36" t="s">
        <v>80</v>
      </c>
      <c r="C69" s="35">
        <v>426</v>
      </c>
      <c r="D69" s="28">
        <f t="shared" si="1"/>
        <v>1.1122715404699739</v>
      </c>
    </row>
    <row r="70" spans="2:4" ht="19.95" customHeight="1" x14ac:dyDescent="0.3">
      <c r="B70" s="36" t="s">
        <v>81</v>
      </c>
      <c r="C70" s="35">
        <v>429</v>
      </c>
      <c r="D70" s="28">
        <f t="shared" si="1"/>
        <v>1.1201044386422976</v>
      </c>
    </row>
    <row r="71" spans="2:4" ht="19.95" customHeight="1" x14ac:dyDescent="0.3">
      <c r="B71" s="36" t="s">
        <v>82</v>
      </c>
      <c r="C71" s="35">
        <v>433</v>
      </c>
      <c r="D71" s="28">
        <f t="shared" si="1"/>
        <v>1.1305483028720626</v>
      </c>
    </row>
    <row r="72" spans="2:4" ht="19.95" customHeight="1" x14ac:dyDescent="0.3">
      <c r="B72" s="36" t="s">
        <v>83</v>
      </c>
      <c r="C72" s="35">
        <v>434</v>
      </c>
      <c r="D72" s="28">
        <f t="shared" si="1"/>
        <v>1.133159268929504</v>
      </c>
    </row>
    <row r="73" spans="2:4" ht="19.95" customHeight="1" x14ac:dyDescent="0.3">
      <c r="B73" s="36" t="s">
        <v>84</v>
      </c>
      <c r="C73" s="35">
        <v>437</v>
      </c>
      <c r="D73" s="28">
        <f t="shared" si="1"/>
        <v>1.1409921671018277</v>
      </c>
    </row>
    <row r="74" spans="2:4" ht="19.95" customHeight="1" x14ac:dyDescent="0.3">
      <c r="B74" s="36" t="s">
        <v>85</v>
      </c>
      <c r="C74" s="35">
        <v>441</v>
      </c>
      <c r="D74" s="28">
        <f t="shared" si="1"/>
        <v>1.1514360313315928</v>
      </c>
    </row>
    <row r="75" spans="2:4" ht="19.95" customHeight="1" x14ac:dyDescent="0.3">
      <c r="B75" s="36" t="s">
        <v>86</v>
      </c>
      <c r="C75" s="35">
        <v>445</v>
      </c>
      <c r="D75" s="28">
        <f t="shared" si="1"/>
        <v>1.1618798955613576</v>
      </c>
    </row>
    <row r="76" spans="2:4" ht="19.95" customHeight="1" x14ac:dyDescent="0.3">
      <c r="B76" s="36" t="s">
        <v>87</v>
      </c>
      <c r="C76" s="35">
        <v>447</v>
      </c>
      <c r="D76" s="28">
        <f t="shared" si="1"/>
        <v>1.1671018276762402</v>
      </c>
    </row>
    <row r="77" spans="2:4" ht="19.95" customHeight="1" x14ac:dyDescent="0.3">
      <c r="B77" s="36" t="s">
        <v>88</v>
      </c>
      <c r="C77" s="35">
        <v>449</v>
      </c>
      <c r="D77" s="28">
        <f t="shared" si="1"/>
        <v>1.1723237597911227</v>
      </c>
    </row>
    <row r="78" spans="2:4" ht="19.95" customHeight="1" x14ac:dyDescent="0.3">
      <c r="B78" s="36" t="s">
        <v>89</v>
      </c>
      <c r="C78" s="35">
        <v>453</v>
      </c>
      <c r="D78" s="28">
        <f t="shared" si="1"/>
        <v>1.1827676240208878</v>
      </c>
    </row>
    <row r="79" spans="2:4" ht="19.95" customHeight="1" x14ac:dyDescent="0.3">
      <c r="B79" s="36" t="s">
        <v>90</v>
      </c>
      <c r="C79" s="35">
        <v>455</v>
      </c>
      <c r="D79" s="28">
        <f t="shared" si="1"/>
        <v>1.1879895561357703</v>
      </c>
    </row>
    <row r="80" spans="2:4" ht="19.95" customHeight="1" x14ac:dyDescent="0.3">
      <c r="B80" s="36" t="s">
        <v>91</v>
      </c>
      <c r="C80" s="35">
        <v>459</v>
      </c>
      <c r="D80" s="28">
        <f t="shared" si="1"/>
        <v>1.1984334203655354</v>
      </c>
    </row>
    <row r="81" spans="2:4" ht="19.95" customHeight="1" x14ac:dyDescent="0.3">
      <c r="B81" s="36" t="s">
        <v>92</v>
      </c>
      <c r="C81" s="35">
        <v>461</v>
      </c>
      <c r="D81" s="28">
        <f t="shared" si="1"/>
        <v>1.2036553524804177</v>
      </c>
    </row>
    <row r="82" spans="2:4" ht="19.95" customHeight="1" x14ac:dyDescent="0.3">
      <c r="B82" s="36" t="s">
        <v>93</v>
      </c>
      <c r="C82" s="35">
        <v>464</v>
      </c>
      <c r="D82" s="28">
        <f t="shared" si="1"/>
        <v>1.2114882506527416</v>
      </c>
    </row>
    <row r="83" spans="2:4" ht="19.95" customHeight="1" x14ac:dyDescent="0.3">
      <c r="B83" s="36" t="s">
        <v>94</v>
      </c>
      <c r="C83" s="35">
        <v>469</v>
      </c>
      <c r="D83" s="28">
        <f t="shared" si="1"/>
        <v>1.2245430809399478</v>
      </c>
    </row>
    <row r="84" spans="2:4" ht="19.95" customHeight="1" x14ac:dyDescent="0.3">
      <c r="B84" s="36" t="s">
        <v>95</v>
      </c>
      <c r="C84" s="35">
        <v>478</v>
      </c>
      <c r="D84" s="28">
        <f t="shared" si="1"/>
        <v>1.2480417754569191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Calculation</vt:lpstr>
    </vt:vector>
  </TitlesOfParts>
  <Company>Kier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Colin</dc:creator>
  <cp:lastModifiedBy>Bell, Colin</cp:lastModifiedBy>
  <dcterms:created xsi:type="dcterms:W3CDTF">2026-06-30T09:46:45Z</dcterms:created>
  <dcterms:modified xsi:type="dcterms:W3CDTF">2026-07-07T22:19:28Z</dcterms:modified>
</cp:coreProperties>
</file>