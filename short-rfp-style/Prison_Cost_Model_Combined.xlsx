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rouet\source\repos\azure-main\short-rfp-style\"/>
    </mc:Choice>
  </mc:AlternateContent>
  <xr:revisionPtr revIDLastSave="0" documentId="8_{0F8C281F-A41B-44D2-847E-C65C96DD7766}" xr6:coauthVersionLast="47" xr6:coauthVersionMax="47" xr10:uidLastSave="{00000000-0000-0000-0000-000000000000}"/>
  <bookViews>
    <workbookView xWindow="25680" yWindow="-120" windowWidth="26040" windowHeight="21120" xr2:uid="{5426DF25-1E34-4F12-907D-2A08763D9156}"/>
  </bookViews>
  <sheets>
    <sheet name="Outputs" sheetId="3" r:id="rId1"/>
    <sheet name="Backgroun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B24" i="3"/>
  <c r="B22" i="3"/>
  <c r="B20" i="3"/>
  <c r="B18" i="3"/>
  <c r="B14" i="3"/>
  <c r="B15" i="3"/>
  <c r="B11" i="3"/>
  <c r="E14" i="1"/>
  <c r="C14" i="1" s="1"/>
  <c r="E13" i="1"/>
  <c r="B12" i="3" s="1"/>
  <c r="E18" i="1"/>
  <c r="C18" i="1" s="1"/>
  <c r="E17" i="1"/>
  <c r="B16" i="3" s="1"/>
  <c r="B7" i="3"/>
  <c r="B21" i="3" s="1"/>
  <c r="B19" i="3" l="1"/>
  <c r="C13" i="1"/>
  <c r="C17" i="1"/>
  <c r="B13" i="3"/>
  <c r="B17" i="3"/>
  <c r="B27" i="3"/>
  <c r="B4" i="3" l="1"/>
  <c r="B34" i="3" s="1"/>
  <c r="C6" i="1"/>
  <c r="B33" i="3" l="1"/>
  <c r="B42" i="3"/>
  <c r="B37" i="3"/>
  <c r="B35" i="3"/>
  <c r="B36" i="3"/>
  <c r="B46" i="3"/>
  <c r="B43" i="3"/>
  <c r="B41" i="3"/>
  <c r="B40" i="3"/>
  <c r="B32" i="3"/>
  <c r="B45" i="3"/>
  <c r="B44" i="3"/>
  <c r="B31" i="3"/>
  <c r="B47" i="3"/>
  <c r="B39" i="3"/>
  <c r="B38" i="3"/>
  <c r="B48" i="3" l="1"/>
</calcChain>
</file>

<file path=xl/sharedStrings.xml><?xml version="1.0" encoding="utf-8"?>
<sst xmlns="http://schemas.openxmlformats.org/spreadsheetml/2006/main" count="98" uniqueCount="57">
  <si>
    <t>No. of prisoners</t>
  </si>
  <si>
    <t>Input figure here</t>
  </si>
  <si>
    <t>Required GIFA</t>
  </si>
  <si>
    <t>Calculated Total GIFA ÷ Millsike Density</t>
  </si>
  <si>
    <t>No. of Houseblocks req'd</t>
  </si>
  <si>
    <t>Buildings</t>
  </si>
  <si>
    <t>GIFA</t>
  </si>
  <si>
    <t>ERH (core)</t>
  </si>
  <si>
    <t>ERH (offices)</t>
  </si>
  <si>
    <t>ERH (visits hall)</t>
  </si>
  <si>
    <t>Support</t>
  </si>
  <si>
    <t>Central services (core)</t>
  </si>
  <si>
    <t>Central services (education)</t>
  </si>
  <si>
    <t>Central services (gym)</t>
  </si>
  <si>
    <t>Kitchen</t>
  </si>
  <si>
    <t>Workshop</t>
  </si>
  <si>
    <t>CASU</t>
  </si>
  <si>
    <t>Houseblock</t>
  </si>
  <si>
    <t>OPU</t>
  </si>
  <si>
    <t>Required Acres</t>
  </si>
  <si>
    <t>Programme (wks)</t>
  </si>
  <si>
    <t>Houseblock Duration + ((Number of Blocks - 1) × 4 Weeks)
+ Commissioning</t>
  </si>
  <si>
    <t>Description</t>
  </si>
  <si>
    <t>Cost / m2</t>
  </si>
  <si>
    <t>Profit</t>
  </si>
  <si>
    <t>Central OH</t>
  </si>
  <si>
    <t>Site OH A</t>
  </si>
  <si>
    <t>Site OH B</t>
  </si>
  <si>
    <t>Risk</t>
  </si>
  <si>
    <t>Specialist fees</t>
  </si>
  <si>
    <t>Precon fees</t>
  </si>
  <si>
    <t>Regulatory fees</t>
  </si>
  <si>
    <t>Demo</t>
  </si>
  <si>
    <t>Substructure</t>
  </si>
  <si>
    <t>Superstructure Env</t>
  </si>
  <si>
    <t>Superstructure Sub</t>
  </si>
  <si>
    <t>Finishes</t>
  </si>
  <si>
    <t>Fittings</t>
  </si>
  <si>
    <t>M&amp;E</t>
  </si>
  <si>
    <t>External works</t>
  </si>
  <si>
    <t>Minor works</t>
  </si>
  <si>
    <t>TOTAL</t>
  </si>
  <si>
    <t>Prisoners (Total)</t>
  </si>
  <si>
    <t>Prisoners (per HB)</t>
  </si>
  <si>
    <t>Site area</t>
  </si>
  <si>
    <t>Area / prisoner</t>
  </si>
  <si>
    <t>Programme (HBs)</t>
  </si>
  <si>
    <t>Programme (Stagger)</t>
  </si>
  <si>
    <t>Programme (Commissioning)</t>
  </si>
  <si>
    <t>Building</t>
  </si>
  <si>
    <t>Status</t>
  </si>
  <si>
    <t>m2 / person</t>
  </si>
  <si>
    <t>Notes</t>
  </si>
  <si>
    <t>Fixed</t>
  </si>
  <si>
    <t>per additional HB</t>
  </si>
  <si>
    <t>1 additional CASU per 6 HBs</t>
  </si>
  <si>
    <t>1 additional OPU per 6 HBs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</si>
</sst>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"/>
  </numFmts>
  <fonts count="9" x14ac:knownFonts="1">
    <font>
      <sz val="12"/>
      <color theme="1"/>
      <name val="Arial"/>
      <family val="2"/>
    </font>
    <font>
      <sz val="11"/>
      <color rgb="FFFFFFFF"/>
      <name val="Aptos"/>
      <family val="2"/>
    </font>
    <font>
      <sz val="11"/>
      <color theme="1"/>
      <name val="Aptos"/>
      <family val="2"/>
    </font>
    <font>
      <i/>
      <sz val="8"/>
      <color theme="1"/>
      <name val="Aptos"/>
      <family val="2"/>
    </font>
    <font>
      <sz val="11"/>
      <color theme="0"/>
      <name val="Aptos"/>
      <family val="2"/>
    </font>
    <font>
      <i/>
      <sz val="11"/>
      <color theme="1"/>
      <name val="Aptos"/>
      <family val="2"/>
    </font>
    <font>
      <i/>
      <sz val="9"/>
      <color theme="1"/>
      <name val="Aptos"/>
      <family val="2"/>
    </font>
    <font>
      <b/>
      <sz val="11"/>
      <color theme="0"/>
      <name val="Aptos"/>
      <family val="2"/>
    </font>
    <font>
      <b/>
      <i/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007B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3" fontId="2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164" fontId="2" fillId="8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CC72-3912-478A-9F8E-082B65FB2023}">
  <dimension ref="A1:E48"/>
  <sheetViews>
    <sheetView tabSelected="1" workbookViewId="0">
      <selection activeCell="B22" sqref="B22"/>
    </sheetView>
  </sheetViews>
  <sheetFormatPr defaultColWidth="8.77734375" defaultRowHeight="19.899999999999999" customHeight="1" x14ac:dyDescent="0.25"/>
  <cols>
    <col min="1" max="1" width="42.21875" style="3" bestFit="1" customWidth="1"/>
    <col min="2" max="2" width="20.6640625" style="4" customWidth="1"/>
    <col min="3" max="4" width="8.77734375" style="4"/>
    <col min="5" max="5" width="9" style="4" bestFit="1" customWidth="1"/>
    <col min="6" max="16384" width="8.77734375" style="1"/>
  </cols>
  <sheetData>
    <row r="1" spans="1:3" ht="19.899999999999999" customHeight="1" x14ac:dyDescent="0.25">
      <c r="A1" s="8"/>
      <c r="B1" s="9"/>
    </row>
    <row r="2" spans="1:3" ht="19.899999999999999" customHeight="1" x14ac:dyDescent="0.25">
      <c r="A2" s="10" t="s">
        <v>0</v>
      </c>
      <c r="B2" s="11">
        <v>1440</v>
      </c>
      <c r="C2" s="19" t="s">
        <v>1</v>
      </c>
    </row>
    <row r="3" spans="1:3" ht="19.899999999999999" customHeight="1" x14ac:dyDescent="0.25">
      <c r="A3" s="8"/>
      <c r="B3" s="9"/>
    </row>
    <row r="4" spans="1:3" ht="19.899999999999999" customHeight="1" x14ac:dyDescent="0.25">
      <c r="A4" s="10" t="s">
        <v>2</v>
      </c>
      <c r="B4" s="16">
        <f>SUM(B11:B22)</f>
        <v>56706</v>
      </c>
    </row>
    <row r="5" spans="1:3" ht="19.899999999999999" customHeight="1" x14ac:dyDescent="0.25">
      <c r="A5" s="12" t="s">
        <v>3</v>
      </c>
      <c r="B5" s="9"/>
    </row>
    <row r="6" spans="1:3" ht="19.899999999999999" customHeight="1" x14ac:dyDescent="0.25">
      <c r="A6" s="8"/>
      <c r="B6" s="9"/>
    </row>
    <row r="7" spans="1:3" ht="19.899999999999999" customHeight="1" x14ac:dyDescent="0.25">
      <c r="A7" s="10" t="s">
        <v>4</v>
      </c>
      <c r="B7" s="16">
        <f>ROUNDUP(B2/Background!C3,0)</f>
        <v>6</v>
      </c>
    </row>
    <row r="8" spans="1:3" ht="19.899999999999999" customHeight="1" x14ac:dyDescent="0.25">
      <c r="A8" s="12" t="s">
        <v>3</v>
      </c>
      <c r="B8" s="9"/>
    </row>
    <row r="9" spans="1:3" ht="19.899999999999999" customHeight="1" x14ac:dyDescent="0.25">
      <c r="A9" s="8"/>
      <c r="B9" s="9"/>
    </row>
    <row r="10" spans="1:3" ht="19.899999999999999" customHeight="1" x14ac:dyDescent="0.25">
      <c r="A10" s="10" t="s">
        <v>5</v>
      </c>
      <c r="B10" s="14" t="s">
        <v>6</v>
      </c>
    </row>
    <row r="11" spans="1:3" ht="19.899999999999999" customHeight="1" x14ac:dyDescent="0.25">
      <c r="A11" s="30" t="s">
        <v>7</v>
      </c>
      <c r="B11" s="16">
        <f>Background!C12</f>
        <v>3059</v>
      </c>
      <c r="C11" s="7"/>
    </row>
    <row r="12" spans="1:3" ht="19.899999999999999" customHeight="1" x14ac:dyDescent="0.25">
      <c r="A12" s="30" t="s">
        <v>8</v>
      </c>
      <c r="B12" s="16">
        <f>$B$2*Background!E13</f>
        <v>200</v>
      </c>
      <c r="C12" s="7"/>
    </row>
    <row r="13" spans="1:3" ht="19.899999999999999" customHeight="1" x14ac:dyDescent="0.25">
      <c r="A13" s="30" t="s">
        <v>9</v>
      </c>
      <c r="B13" s="16">
        <f>$B$2*Background!E14</f>
        <v>1400</v>
      </c>
      <c r="C13" s="7"/>
    </row>
    <row r="14" spans="1:3" ht="19.899999999999999" customHeight="1" x14ac:dyDescent="0.25">
      <c r="A14" s="30" t="s">
        <v>10</v>
      </c>
      <c r="B14" s="16">
        <f>Background!C15</f>
        <v>770</v>
      </c>
      <c r="C14" s="7"/>
    </row>
    <row r="15" spans="1:3" ht="19.899999999999999" customHeight="1" x14ac:dyDescent="0.25">
      <c r="A15" s="30" t="s">
        <v>11</v>
      </c>
      <c r="B15" s="16">
        <f>Background!C16</f>
        <v>3130</v>
      </c>
      <c r="C15" s="7"/>
    </row>
    <row r="16" spans="1:3" ht="19.899999999999999" customHeight="1" x14ac:dyDescent="0.25">
      <c r="A16" s="30" t="s">
        <v>12</v>
      </c>
      <c r="B16" s="16">
        <f>$B$2*Background!E17</f>
        <v>1500</v>
      </c>
      <c r="C16" s="7"/>
    </row>
    <row r="17" spans="1:3" ht="19.899999999999999" customHeight="1" x14ac:dyDescent="0.25">
      <c r="A17" s="30" t="s">
        <v>13</v>
      </c>
      <c r="B17" s="16">
        <f>$B$2*Background!E18</f>
        <v>300</v>
      </c>
      <c r="C17" s="7"/>
    </row>
    <row r="18" spans="1:3" ht="19.899999999999999" customHeight="1" x14ac:dyDescent="0.25">
      <c r="A18" s="30" t="s">
        <v>14</v>
      </c>
      <c r="B18" s="16">
        <f>Background!C19</f>
        <v>1926</v>
      </c>
      <c r="C18" s="7"/>
    </row>
    <row r="19" spans="1:3" ht="19.899999999999999" customHeight="1" x14ac:dyDescent="0.25">
      <c r="A19" s="30" t="s">
        <v>15</v>
      </c>
      <c r="B19" s="16">
        <f>Background!C20+((B7-6)*1200)</f>
        <v>7257</v>
      </c>
      <c r="C19" s="7"/>
    </row>
    <row r="20" spans="1:3" ht="19.899999999999999" customHeight="1" x14ac:dyDescent="0.25">
      <c r="A20" s="30" t="s">
        <v>16</v>
      </c>
      <c r="B20" s="16">
        <f>Background!C21</f>
        <v>648</v>
      </c>
      <c r="C20" s="7"/>
    </row>
    <row r="21" spans="1:3" ht="19.899999999999999" customHeight="1" x14ac:dyDescent="0.25">
      <c r="A21" s="30" t="s">
        <v>17</v>
      </c>
      <c r="B21" s="16">
        <f>((B7-1)*Background!C22)</f>
        <v>30430</v>
      </c>
      <c r="C21" s="2"/>
    </row>
    <row r="22" spans="1:3" ht="19.899999999999999" customHeight="1" x14ac:dyDescent="0.25">
      <c r="A22" s="30" t="s">
        <v>18</v>
      </c>
      <c r="B22" s="16">
        <f>Background!C23</f>
        <v>6086</v>
      </c>
      <c r="C22" s="7"/>
    </row>
    <row r="23" spans="1:3" ht="19.899999999999999" customHeight="1" x14ac:dyDescent="0.25">
      <c r="A23" s="8"/>
      <c r="B23" s="13"/>
      <c r="C23" s="5"/>
    </row>
    <row r="24" spans="1:3" ht="19.899999999999999" customHeight="1" x14ac:dyDescent="0.25">
      <c r="A24" s="10" t="s">
        <v>19</v>
      </c>
      <c r="B24" s="16">
        <f>((B2*Background!C5)/4046.86)</f>
        <v>51.061810885476639</v>
      </c>
      <c r="C24" s="5"/>
    </row>
    <row r="25" spans="1:3" ht="19.899999999999999" customHeight="1" x14ac:dyDescent="0.25">
      <c r="A25" s="12" t="s">
        <v>3</v>
      </c>
      <c r="B25" s="5"/>
      <c r="C25" s="5"/>
    </row>
    <row r="26" spans="1:3" ht="19.899999999999999" customHeight="1" x14ac:dyDescent="0.25">
      <c r="A26" s="8"/>
      <c r="B26" s="13"/>
      <c r="C26" s="5"/>
    </row>
    <row r="27" spans="1:3" ht="19.899999999999999" customHeight="1" x14ac:dyDescent="0.25">
      <c r="A27" s="10" t="s">
        <v>20</v>
      </c>
      <c r="B27" s="16">
        <f>Background!C7+((B7-1)*Background!C8)+Background!C9</f>
        <v>154</v>
      </c>
      <c r="C27" s="5"/>
    </row>
    <row r="28" spans="1:3" ht="19.899999999999999" customHeight="1" x14ac:dyDescent="0.25">
      <c r="A28" s="12" t="s">
        <v>21</v>
      </c>
      <c r="B28" s="13"/>
      <c r="C28" s="5"/>
    </row>
    <row r="29" spans="1:3" ht="19.899999999999999" customHeight="1" x14ac:dyDescent="0.25">
      <c r="A29" s="8"/>
      <c r="B29" s="13"/>
      <c r="C29" s="5"/>
    </row>
    <row r="30" spans="1:3" ht="19.899999999999999" customHeight="1" x14ac:dyDescent="0.25">
      <c r="A30" s="10" t="s">
        <v>22</v>
      </c>
      <c r="B30" s="14" t="s">
        <v>23</v>
      </c>
      <c r="C30" s="5"/>
    </row>
    <row r="31" spans="1:3" ht="19.899999999999999" customHeight="1" x14ac:dyDescent="0.25">
      <c r="A31" s="30" t="s">
        <v>24</v>
      </c>
      <c r="B31" s="15">
        <f>$B$4*Background!C26</f>
        <v>6767861.0999999996</v>
      </c>
      <c r="C31" s="5"/>
    </row>
    <row r="32" spans="1:3" ht="19.899999999999999" customHeight="1" x14ac:dyDescent="0.25">
      <c r="A32" s="30" t="s">
        <v>25</v>
      </c>
      <c r="B32" s="15">
        <f>$B$4*Background!C27</f>
        <v>17789806.32</v>
      </c>
      <c r="C32" s="5"/>
    </row>
    <row r="33" spans="1:3" ht="19.899999999999999" customHeight="1" x14ac:dyDescent="0.25">
      <c r="A33" s="30" t="s">
        <v>26</v>
      </c>
      <c r="B33" s="15">
        <f>$B$4*Background!C28</f>
        <v>24870684.539999999</v>
      </c>
      <c r="C33" s="5"/>
    </row>
    <row r="34" spans="1:3" ht="19.899999999999999" customHeight="1" x14ac:dyDescent="0.25">
      <c r="A34" s="30" t="s">
        <v>27</v>
      </c>
      <c r="B34" s="15">
        <f>$B$4*Background!C29</f>
        <v>28036580.52</v>
      </c>
      <c r="C34" s="5"/>
    </row>
    <row r="35" spans="1:3" ht="19.899999999999999" customHeight="1" x14ac:dyDescent="0.25">
      <c r="A35" s="30" t="s">
        <v>28</v>
      </c>
      <c r="B35" s="15">
        <f>$B$4*Background!C30</f>
        <v>8128238.04</v>
      </c>
      <c r="C35" s="5"/>
    </row>
    <row r="36" spans="1:3" ht="19.899999999999999" customHeight="1" x14ac:dyDescent="0.25">
      <c r="A36" s="30" t="s">
        <v>29</v>
      </c>
      <c r="B36" s="15">
        <f>$B$4*Background!C31</f>
        <v>1781135.46</v>
      </c>
      <c r="C36" s="5"/>
    </row>
    <row r="37" spans="1:3" ht="19.899999999999999" customHeight="1" x14ac:dyDescent="0.25">
      <c r="A37" s="30" t="s">
        <v>30</v>
      </c>
      <c r="B37" s="15">
        <f>$B$4*Background!C32</f>
        <v>1201033.08</v>
      </c>
    </row>
    <row r="38" spans="1:3" ht="19.899999999999999" customHeight="1" x14ac:dyDescent="0.25">
      <c r="A38" s="30" t="s">
        <v>31</v>
      </c>
      <c r="B38" s="15">
        <f>$B$4*Background!C33</f>
        <v>0</v>
      </c>
    </row>
    <row r="39" spans="1:3" ht="19.899999999999999" customHeight="1" x14ac:dyDescent="0.25">
      <c r="A39" s="30" t="s">
        <v>32</v>
      </c>
      <c r="B39" s="15">
        <f>$B$4*Background!C34</f>
        <v>0</v>
      </c>
    </row>
    <row r="40" spans="1:3" ht="19.899999999999999" customHeight="1" x14ac:dyDescent="0.25">
      <c r="A40" s="30" t="s">
        <v>33</v>
      </c>
      <c r="B40" s="15">
        <f>$B$4*Background!C35</f>
        <v>22442533.619999997</v>
      </c>
    </row>
    <row r="41" spans="1:3" ht="19.899999999999999" customHeight="1" x14ac:dyDescent="0.25">
      <c r="A41" s="30" t="s">
        <v>34</v>
      </c>
      <c r="B41" s="15">
        <f>$B$4*Background!C36</f>
        <v>80536129.439999998</v>
      </c>
    </row>
    <row r="42" spans="1:3" ht="19.899999999999999" customHeight="1" x14ac:dyDescent="0.25">
      <c r="A42" s="30" t="s">
        <v>35</v>
      </c>
      <c r="B42" s="15">
        <f>$B$4*Background!C37</f>
        <v>21404246.759999998</v>
      </c>
    </row>
    <row r="43" spans="1:3" ht="19.899999999999999" customHeight="1" x14ac:dyDescent="0.25">
      <c r="A43" s="30" t="s">
        <v>36</v>
      </c>
      <c r="B43" s="15">
        <f>$B$4*Background!C38</f>
        <v>18586525.619999997</v>
      </c>
    </row>
    <row r="44" spans="1:3" ht="19.899999999999999" customHeight="1" x14ac:dyDescent="0.25">
      <c r="A44" s="30" t="s">
        <v>37</v>
      </c>
      <c r="B44" s="15">
        <f>$B$4*Background!C39</f>
        <v>6128784.4799999995</v>
      </c>
    </row>
    <row r="45" spans="1:3" ht="19.899999999999999" customHeight="1" x14ac:dyDescent="0.25">
      <c r="A45" s="30" t="s">
        <v>38</v>
      </c>
      <c r="B45" s="15">
        <f>$B$4*Background!C40</f>
        <v>127511379.83999999</v>
      </c>
    </row>
    <row r="46" spans="1:3" ht="19.899999999999999" customHeight="1" x14ac:dyDescent="0.25">
      <c r="A46" s="30" t="s">
        <v>39</v>
      </c>
      <c r="B46" s="15">
        <f>$B$4*Background!C41</f>
        <v>95928406.079999998</v>
      </c>
    </row>
    <row r="47" spans="1:3" ht="19.899999999999999" customHeight="1" x14ac:dyDescent="0.25">
      <c r="A47" s="30" t="s">
        <v>40</v>
      </c>
      <c r="B47" s="15">
        <f>$B$4*Background!C42</f>
        <v>6738941.04</v>
      </c>
    </row>
    <row r="48" spans="1:3" ht="19.899999999999999" customHeight="1" x14ac:dyDescent="0.25">
      <c r="A48" s="32" t="s">
        <v>41</v>
      </c>
      <c r="B48" s="31">
        <f>SUM(B31:B47)</f>
        <v>467852285.94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8604-DBB0-4EEB-A8FC-150C4362C137}">
  <dimension ref="B1:F46"/>
  <sheetViews>
    <sheetView workbookViewId="0">
      <selection activeCell="E27" sqref="E27"/>
    </sheetView>
  </sheetViews>
  <sheetFormatPr defaultColWidth="8.77734375" defaultRowHeight="15" x14ac:dyDescent="0.25"/>
  <cols>
    <col min="1" max="1" width="3.21875" style="1" customWidth="1"/>
    <col min="2" max="6" width="25.6640625" style="1" customWidth="1"/>
    <col min="7" max="7" width="8.77734375" style="1"/>
    <col min="8" max="8" width="25.6640625" style="1" customWidth="1"/>
    <col min="9" max="16384" width="8.77734375" style="1"/>
  </cols>
  <sheetData>
    <row r="1" spans="2:6" ht="19.899999999999999" customHeight="1" x14ac:dyDescent="0.25"/>
    <row r="2" spans="2:6" ht="19.899999999999999" customHeight="1" x14ac:dyDescent="0.25">
      <c r="B2" s="17" t="s">
        <v>42</v>
      </c>
      <c r="C2" s="20">
        <v>1440</v>
      </c>
    </row>
    <row r="3" spans="2:6" ht="19.899999999999999" customHeight="1" x14ac:dyDescent="0.25">
      <c r="B3" s="17" t="s">
        <v>43</v>
      </c>
      <c r="C3" s="20">
        <v>240</v>
      </c>
    </row>
    <row r="4" spans="2:6" ht="19.899999999999999" customHeight="1" x14ac:dyDescent="0.25">
      <c r="B4" s="18" t="s">
        <v>6</v>
      </c>
      <c r="C4" s="20">
        <f>SUM(C12:C21)+(5*C22)+C23</f>
        <v>56706</v>
      </c>
    </row>
    <row r="5" spans="2:6" ht="19.899999999999999" customHeight="1" x14ac:dyDescent="0.25">
      <c r="B5" s="17" t="s">
        <v>44</v>
      </c>
      <c r="C5" s="21">
        <v>143.5</v>
      </c>
    </row>
    <row r="6" spans="2:6" ht="19.899999999999999" customHeight="1" x14ac:dyDescent="0.25">
      <c r="B6" s="17" t="s">
        <v>45</v>
      </c>
      <c r="C6" s="21">
        <f>C4/C2</f>
        <v>39.37916666666667</v>
      </c>
    </row>
    <row r="7" spans="2:6" ht="19.899999999999999" customHeight="1" x14ac:dyDescent="0.25">
      <c r="B7" s="17" t="s">
        <v>46</v>
      </c>
      <c r="C7" s="21">
        <v>122</v>
      </c>
    </row>
    <row r="8" spans="2:6" ht="19.899999999999999" customHeight="1" x14ac:dyDescent="0.25">
      <c r="B8" s="17" t="s">
        <v>47</v>
      </c>
      <c r="C8" s="21">
        <v>4</v>
      </c>
    </row>
    <row r="9" spans="2:6" ht="19.899999999999999" customHeight="1" x14ac:dyDescent="0.25">
      <c r="B9" s="17" t="s">
        <v>48</v>
      </c>
      <c r="C9" s="21">
        <v>12</v>
      </c>
    </row>
    <row r="10" spans="2:6" ht="19.899999999999999" customHeight="1" x14ac:dyDescent="0.25"/>
    <row r="11" spans="2:6" ht="19.899999999999999" customHeight="1" x14ac:dyDescent="0.25">
      <c r="B11" s="24" t="s">
        <v>49</v>
      </c>
      <c r="C11" s="14" t="s">
        <v>6</v>
      </c>
      <c r="D11" s="14" t="s">
        <v>50</v>
      </c>
      <c r="E11" s="14" t="s">
        <v>51</v>
      </c>
      <c r="F11" s="14" t="s">
        <v>52</v>
      </c>
    </row>
    <row r="12" spans="2:6" ht="19.899999999999999" customHeight="1" x14ac:dyDescent="0.25">
      <c r="B12" s="22" t="s">
        <v>7</v>
      </c>
      <c r="C12" s="20">
        <v>3059</v>
      </c>
      <c r="D12" s="25" t="s">
        <v>53</v>
      </c>
      <c r="E12" s="25"/>
      <c r="F12" s="26"/>
    </row>
    <row r="13" spans="2:6" ht="19.899999999999999" customHeight="1" x14ac:dyDescent="0.25">
      <c r="B13" s="22" t="s">
        <v>8</v>
      </c>
      <c r="C13" s="20">
        <f>$C$2*E13</f>
        <v>200</v>
      </c>
      <c r="D13" s="27"/>
      <c r="E13" s="28">
        <f>200/1440</f>
        <v>0.1388888888888889</v>
      </c>
      <c r="F13" s="26"/>
    </row>
    <row r="14" spans="2:6" ht="19.899999999999999" customHeight="1" x14ac:dyDescent="0.25">
      <c r="B14" s="22" t="s">
        <v>9</v>
      </c>
      <c r="C14" s="20">
        <f>$C$2*E14</f>
        <v>1400</v>
      </c>
      <c r="D14" s="27"/>
      <c r="E14" s="29">
        <f>1400/1440</f>
        <v>0.97222222222222221</v>
      </c>
      <c r="F14" s="26"/>
    </row>
    <row r="15" spans="2:6" ht="19.899999999999999" customHeight="1" x14ac:dyDescent="0.25">
      <c r="B15" s="22" t="s">
        <v>10</v>
      </c>
      <c r="C15" s="20">
        <v>770</v>
      </c>
      <c r="D15" s="25" t="s">
        <v>53</v>
      </c>
      <c r="E15" s="28"/>
      <c r="F15" s="26"/>
    </row>
    <row r="16" spans="2:6" ht="19.899999999999999" customHeight="1" x14ac:dyDescent="0.25">
      <c r="B16" s="22" t="s">
        <v>11</v>
      </c>
      <c r="C16" s="20">
        <v>3130</v>
      </c>
      <c r="D16" s="25" t="s">
        <v>53</v>
      </c>
      <c r="E16" s="28"/>
      <c r="F16" s="26"/>
    </row>
    <row r="17" spans="2:6" ht="19.899999999999999" customHeight="1" x14ac:dyDescent="0.25">
      <c r="B17" s="22" t="s">
        <v>12</v>
      </c>
      <c r="C17" s="20">
        <f t="shared" ref="C17:C18" si="0">$C$2*E17</f>
        <v>1500</v>
      </c>
      <c r="D17" s="27"/>
      <c r="E17" s="28">
        <f>1500/1440</f>
        <v>1.0416666666666667</v>
      </c>
      <c r="F17" s="26"/>
    </row>
    <row r="18" spans="2:6" ht="19.899999999999999" customHeight="1" x14ac:dyDescent="0.25">
      <c r="B18" s="22" t="s">
        <v>13</v>
      </c>
      <c r="C18" s="20">
        <f t="shared" si="0"/>
        <v>300</v>
      </c>
      <c r="D18" s="27"/>
      <c r="E18" s="28">
        <f>300/1440</f>
        <v>0.20833333333333334</v>
      </c>
      <c r="F18" s="26"/>
    </row>
    <row r="19" spans="2:6" ht="19.899999999999999" customHeight="1" x14ac:dyDescent="0.25">
      <c r="B19" s="22" t="s">
        <v>14</v>
      </c>
      <c r="C19" s="20">
        <v>1926</v>
      </c>
      <c r="D19" s="25" t="s">
        <v>53</v>
      </c>
      <c r="E19" s="25"/>
      <c r="F19" s="26"/>
    </row>
    <row r="20" spans="2:6" ht="19.899999999999999" customHeight="1" x14ac:dyDescent="0.25">
      <c r="B20" s="22" t="s">
        <v>15</v>
      </c>
      <c r="C20" s="20">
        <v>7257</v>
      </c>
      <c r="D20" s="26"/>
      <c r="E20" s="20">
        <v>1200</v>
      </c>
      <c r="F20" s="25" t="s">
        <v>54</v>
      </c>
    </row>
    <row r="21" spans="2:6" ht="19.899999999999999" customHeight="1" x14ac:dyDescent="0.25">
      <c r="B21" s="22" t="s">
        <v>16</v>
      </c>
      <c r="C21" s="20">
        <v>648</v>
      </c>
      <c r="D21" s="25" t="s">
        <v>53</v>
      </c>
      <c r="E21" s="26"/>
      <c r="F21" s="25" t="s">
        <v>55</v>
      </c>
    </row>
    <row r="22" spans="2:6" ht="19.899999999999999" customHeight="1" x14ac:dyDescent="0.25">
      <c r="B22" s="22" t="s">
        <v>17</v>
      </c>
      <c r="C22" s="20">
        <v>6086</v>
      </c>
      <c r="D22" s="25" t="s">
        <v>53</v>
      </c>
      <c r="E22" s="26"/>
      <c r="F22" s="25"/>
    </row>
    <row r="23" spans="2:6" ht="19.899999999999999" customHeight="1" x14ac:dyDescent="0.25">
      <c r="B23" s="22" t="s">
        <v>18</v>
      </c>
      <c r="C23" s="20">
        <v>6086</v>
      </c>
      <c r="D23" s="25" t="s">
        <v>53</v>
      </c>
      <c r="E23" s="26"/>
      <c r="F23" s="25" t="s">
        <v>56</v>
      </c>
    </row>
    <row r="24" spans="2:6" ht="19.899999999999999" customHeight="1" x14ac:dyDescent="0.25"/>
    <row r="25" spans="2:6" ht="19.899999999999999" customHeight="1" x14ac:dyDescent="0.25">
      <c r="B25" s="24" t="s">
        <v>22</v>
      </c>
      <c r="C25" s="14" t="s">
        <v>23</v>
      </c>
    </row>
    <row r="26" spans="2:6" ht="19.899999999999999" customHeight="1" x14ac:dyDescent="0.25">
      <c r="B26" s="22" t="s">
        <v>24</v>
      </c>
      <c r="C26" s="23">
        <v>119.35</v>
      </c>
    </row>
    <row r="27" spans="2:6" ht="19.899999999999999" customHeight="1" x14ac:dyDescent="0.25">
      <c r="B27" s="22" t="s">
        <v>25</v>
      </c>
      <c r="C27" s="23">
        <v>313.72000000000003</v>
      </c>
    </row>
    <row r="28" spans="2:6" ht="19.899999999999999" customHeight="1" x14ac:dyDescent="0.25">
      <c r="B28" s="22" t="s">
        <v>26</v>
      </c>
      <c r="C28" s="23">
        <v>438.59</v>
      </c>
    </row>
    <row r="29" spans="2:6" ht="19.899999999999999" customHeight="1" x14ac:dyDescent="0.25">
      <c r="B29" s="22" t="s">
        <v>27</v>
      </c>
      <c r="C29" s="23">
        <v>494.42</v>
      </c>
    </row>
    <row r="30" spans="2:6" ht="19.899999999999999" customHeight="1" x14ac:dyDescent="0.25">
      <c r="B30" s="22" t="s">
        <v>28</v>
      </c>
      <c r="C30" s="23">
        <v>143.34</v>
      </c>
    </row>
    <row r="31" spans="2:6" ht="19.899999999999999" customHeight="1" x14ac:dyDescent="0.25">
      <c r="B31" s="22" t="s">
        <v>29</v>
      </c>
      <c r="C31" s="23">
        <v>31.41</v>
      </c>
    </row>
    <row r="32" spans="2:6" ht="19.899999999999999" customHeight="1" x14ac:dyDescent="0.25">
      <c r="B32" s="22" t="s">
        <v>30</v>
      </c>
      <c r="C32" s="23">
        <v>21.18</v>
      </c>
    </row>
    <row r="33" spans="2:6" ht="19.899999999999999" customHeight="1" x14ac:dyDescent="0.25">
      <c r="B33" s="22" t="s">
        <v>31</v>
      </c>
      <c r="C33" s="23"/>
    </row>
    <row r="34" spans="2:6" ht="19.899999999999999" customHeight="1" x14ac:dyDescent="0.25">
      <c r="B34" s="22" t="s">
        <v>32</v>
      </c>
      <c r="C34" s="23"/>
    </row>
    <row r="35" spans="2:6" ht="19.899999999999999" customHeight="1" x14ac:dyDescent="0.25">
      <c r="B35" s="22" t="s">
        <v>33</v>
      </c>
      <c r="C35" s="23">
        <v>395.77</v>
      </c>
    </row>
    <row r="36" spans="2:6" ht="19.899999999999999" customHeight="1" x14ac:dyDescent="0.25">
      <c r="B36" s="22" t="s">
        <v>34</v>
      </c>
      <c r="C36" s="23">
        <v>1420.24</v>
      </c>
    </row>
    <row r="37" spans="2:6" ht="19.899999999999999" customHeight="1" x14ac:dyDescent="0.25">
      <c r="B37" s="22" t="s">
        <v>35</v>
      </c>
      <c r="C37" s="23">
        <v>377.46</v>
      </c>
    </row>
    <row r="38" spans="2:6" ht="19.899999999999999" customHeight="1" x14ac:dyDescent="0.25">
      <c r="B38" s="22" t="s">
        <v>36</v>
      </c>
      <c r="C38" s="23">
        <v>327.77</v>
      </c>
      <c r="E38" s="3"/>
      <c r="F38" s="7"/>
    </row>
    <row r="39" spans="2:6" ht="19.899999999999999" customHeight="1" x14ac:dyDescent="0.25">
      <c r="B39" s="22" t="s">
        <v>37</v>
      </c>
      <c r="C39" s="23">
        <v>108.08</v>
      </c>
      <c r="E39" s="3"/>
      <c r="F39" s="6"/>
    </row>
    <row r="40" spans="2:6" ht="19.899999999999999" customHeight="1" x14ac:dyDescent="0.25">
      <c r="B40" s="22" t="s">
        <v>38</v>
      </c>
      <c r="C40" s="23">
        <v>2248.64</v>
      </c>
      <c r="E40" s="3"/>
      <c r="F40" s="6"/>
    </row>
    <row r="41" spans="2:6" ht="19.899999999999999" customHeight="1" x14ac:dyDescent="0.25">
      <c r="B41" s="22" t="s">
        <v>39</v>
      </c>
      <c r="C41" s="23">
        <v>1691.68</v>
      </c>
      <c r="E41" s="3"/>
      <c r="F41" s="3"/>
    </row>
    <row r="42" spans="2:6" ht="19.899999999999999" customHeight="1" x14ac:dyDescent="0.25">
      <c r="B42" s="22" t="s">
        <v>40</v>
      </c>
      <c r="C42" s="23">
        <v>118.84</v>
      </c>
      <c r="E42" s="3"/>
      <c r="F42" s="3"/>
    </row>
    <row r="43" spans="2:6" ht="19.899999999999999" customHeight="1" x14ac:dyDescent="0.25">
      <c r="E43" s="3"/>
      <c r="F43" s="3"/>
    </row>
    <row r="44" spans="2:6" x14ac:dyDescent="0.25">
      <c r="E44" s="3"/>
      <c r="F44" s="3"/>
    </row>
    <row r="45" spans="2:6" x14ac:dyDescent="0.25">
      <c r="E45" s="3"/>
      <c r="F45" s="3"/>
    </row>
    <row r="46" spans="2:6" x14ac:dyDescent="0.25">
      <c r="E46" s="3"/>
      <c r="F46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Outputs</vt:lpstr>
      <vt:lpstr>Background</vt:lpstr>
    </vt:vector>
  </TitlesOfParts>
  <Manager/>
  <Company>Kier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Bell, Colin</dc:creator>
  <cp:keywords/>
  <dc:description/>
  <cp:lastModifiedBy>Vincent Rouet</cp:lastModifiedBy>
  <cp:revision/>
  <dcterms:created xsi:type="dcterms:W3CDTF">2026-06-30T09:46:45Z</dcterms:created>
  <dcterms:modified xsi:type="dcterms:W3CDTF">2026-07-03T09:41:16Z</dcterms:modified>
  <cp:category/>
  <cp:contentStatus/>
</cp:coreProperties>
</file>